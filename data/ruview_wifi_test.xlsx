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ings" sheetId="1" state="visible" r:id="rId3"/>
    <sheet name="Repeat Te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<sst xmlns="http://schemas.openxmlformats.org/spreadsheetml/2006/main" count="34" uniqueCount="33">
  <si>
    <t xml:space="preserve">RuView WiFi (RSSI) Test - Variance Readings</t>
  </si>
  <si>
    <t xml:space="preserve">State</t>
  </si>
  <si>
    <t xml:space="preserve">Variance</t>
  </si>
  <si>
    <t xml:space="preserve">RSSI (dBm)</t>
  </si>
  <si>
    <t xml:space="preserve">What it means</t>
  </si>
  <si>
    <t xml:space="preserve">Startup noise (weak signal)</t>
  </si>
  <si>
    <t xml:space="preserve">Server had not learned the room yet; signal was barely usable</t>
  </si>
  <si>
    <t xml:space="preserve">Quiet baseline (first reading)</t>
  </si>
  <si>
    <t xml:space="preserve">Room still, strong signal</t>
  </si>
  <si>
    <t xml:space="preserve">Someone moving</t>
  </si>
  <si>
    <t xml:space="preserve">Body disturbing the WiFi path</t>
  </si>
  <si>
    <t xml:space="preserve">Quiet again after movement</t>
  </si>
  <si>
    <t xml:space="preserve">Back to baseline when movement stopped</t>
  </si>
  <si>
    <t xml:space="preserve">Comparison</t>
  </si>
  <si>
    <t xml:space="preserve">Moving vs quiet baseline (33)</t>
  </si>
  <si>
    <t xml:space="preserve">Moving vs quiet again (16)</t>
  </si>
  <si>
    <t xml:space="preserve">Startup noise vs quiet baseline</t>
  </si>
  <si>
    <t xml:space="preserve">Notes</t>
  </si>
  <si>
    <t xml:space="preserve">Blue numbers were read off the RuView dashboard by the user on 28 Oct 2026 (laptop WiFi, RSSI-only mode, no ESP32).</t>
  </si>
  <si>
    <t xml:space="preserve">The RSSI for the startup row was -90 dBm; it was -52 dBm for the later readings.</t>
  </si>
  <si>
    <t xml:space="preserve">Takeaway: movement raised variance about 3-5x over a quiet room, so presence/motion sensing works in this mode.</t>
  </si>
  <si>
    <t xml:space="preserve">Limits: person count, pose, breathing and heart rate need CSI from an ESP32-S3 and are not reliable here.</t>
  </si>
  <si>
    <t xml:space="preserve">Repeat test log: still -&gt; move -&gt; still</t>
  </si>
  <si>
    <t xml:space="preserve">Fill in the yellow cells with Variance from the dashboard. Row 5 is an example (from today's readings).</t>
  </si>
  <si>
    <t xml:space="preserve">Trial</t>
  </si>
  <si>
    <t xml:space="preserve">Still variance</t>
  </si>
  <si>
    <t xml:space="preserve">Moving variance</t>
  </si>
  <si>
    <t xml:space="preserve">Moving / still</t>
  </si>
  <si>
    <t xml:space="preserve">Reacted? (&gt;=2x)</t>
  </si>
  <si>
    <t xml:space="preserve">Example</t>
  </si>
  <si>
    <t xml:space="preserve">Today's readings</t>
  </si>
  <si>
    <t xml:space="preserve">Consistent result?</t>
  </si>
  <si>
    <t xml:space="preserve">'Reacted' threshold of 2x is a rule of thumb, not from RuView.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</si>
</sst>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  <col collapsed="false" customWidth="true" hidden="false" outlineLevel="0" max="4" min="4" style="0" width="62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4" t="n">
        <v>3588</v>
      </c>
      <c r="C4" s="5" t="n">
        <v>-90</v>
      </c>
      <c r="D4" s="3" t="s">
        <v>6</v>
      </c>
    </row>
    <row r="5" customFormat="false" ht="15" hidden="false" customHeight="false" outlineLevel="0" collapsed="false">
      <c r="A5" s="3" t="s">
        <v>7</v>
      </c>
      <c r="B5" s="4" t="n">
        <v>33</v>
      </c>
      <c r="C5" s="5" t="n">
        <v>-52</v>
      </c>
      <c r="D5" s="3" t="s">
        <v>8</v>
      </c>
    </row>
    <row r="6" customFormat="false" ht="15" hidden="false" customHeight="false" outlineLevel="0" collapsed="false">
      <c r="A6" s="3" t="s">
        <v>9</v>
      </c>
      <c r="B6" s="4" t="n">
        <v>90</v>
      </c>
      <c r="C6" s="5" t="n">
        <v>-52</v>
      </c>
      <c r="D6" s="3" t="s">
        <v>10</v>
      </c>
    </row>
    <row r="7" customFormat="false" ht="15" hidden="false" customHeight="false" outlineLevel="0" collapsed="false">
      <c r="A7" s="3" t="s">
        <v>11</v>
      </c>
      <c r="B7" s="4" t="n">
        <v>16</v>
      </c>
      <c r="C7" s="5" t="n">
        <v>-52</v>
      </c>
      <c r="D7" s="3" t="s">
        <v>12</v>
      </c>
    </row>
    <row r="9" customFormat="false" ht="15" hidden="false" customHeight="false" outlineLevel="0" collapsed="false">
      <c r="A9" s="6" t="s">
        <v>13</v>
      </c>
    </row>
    <row r="10" customFormat="false" ht="15" hidden="false" customHeight="false" outlineLevel="0" collapsed="false">
      <c r="A10" s="7" t="s">
        <v>14</v>
      </c>
      <c r="B10" s="8" t="n">
        <f aca="false">B6/B5</f>
        <v>2.72727272727273</v>
      </c>
    </row>
    <row r="11" customFormat="false" ht="15" hidden="false" customHeight="false" outlineLevel="0" collapsed="false">
      <c r="A11" s="7" t="s">
        <v>15</v>
      </c>
      <c r="B11" s="8" t="n">
        <f aca="false">B6/B7</f>
        <v>5.625</v>
      </c>
    </row>
    <row r="12" customFormat="false" ht="15" hidden="false" customHeight="false" outlineLevel="0" collapsed="false">
      <c r="A12" s="7" t="s">
        <v>16</v>
      </c>
      <c r="B12" s="8" t="n">
        <f aca="false">B4/B5</f>
        <v>108.727272727273</v>
      </c>
    </row>
    <row r="14" customFormat="false" ht="15" hidden="false" customHeight="false" outlineLevel="0" collapsed="false">
      <c r="A14" s="6" t="s">
        <v>17</v>
      </c>
    </row>
    <row r="15" customFormat="false" ht="15" hidden="false" customHeight="false" outlineLevel="0" collapsed="false">
      <c r="A15" s="7" t="s">
        <v>18</v>
      </c>
    </row>
    <row r="16" customFormat="false" ht="15" hidden="false" customHeight="false" outlineLevel="0" collapsed="false">
      <c r="A16" s="7" t="s">
        <v>19</v>
      </c>
    </row>
    <row r="17" customFormat="false" ht="15" hidden="false" customHeight="false" outlineLevel="0" collapsed="false">
      <c r="A17" s="7" t="s">
        <v>20</v>
      </c>
    </row>
    <row r="18" customFormat="false" ht="15" hidden="false" customHeight="false" outlineLevel="0" collapsed="false">
      <c r="A18" s="7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22</v>
      </c>
    </row>
    <row r="2" customFormat="false" ht="15" hidden="false" customHeight="false" outlineLevel="0" collapsed="false">
      <c r="A2" s="9" t="s">
        <v>23</v>
      </c>
    </row>
    <row r="4" customFormat="false" ht="15" hidden="false" customHeight="false" outlineLevel="0" collapsed="false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17</v>
      </c>
    </row>
    <row r="5" customFormat="false" ht="15" hidden="false" customHeight="false" outlineLevel="0" collapsed="false">
      <c r="A5" s="3" t="s">
        <v>29</v>
      </c>
      <c r="B5" s="5" t="n">
        <v>16</v>
      </c>
      <c r="C5" s="5" t="n">
        <v>90</v>
      </c>
      <c r="D5" s="10" t="n">
        <f aca="false">IF(OR(B5="",C5="",B5=0),"",C5/B5)</f>
        <v>5.625</v>
      </c>
      <c r="E5" s="3" t="str">
        <f aca="false">IF(D5="","",IF(D5&gt;=2,"Yes","No"))</f>
        <v>Yes</v>
      </c>
      <c r="F5" s="3" t="s">
        <v>30</v>
      </c>
    </row>
    <row r="6" customFormat="false" ht="15" hidden="false" customHeight="false" outlineLevel="0" collapsed="false">
      <c r="A6" s="3" t="n">
        <v>1</v>
      </c>
      <c r="B6" s="11"/>
      <c r="C6" s="11"/>
      <c r="D6" s="10" t="str">
        <f aca="false">IF(OR(B6="",C6="",B6=0),"",C6/B6)</f>
        <v/>
      </c>
      <c r="E6" s="3" t="str">
        <f aca="false">IF(D6="","",IF(D6&gt;=2,"Yes","No"))</f>
        <v/>
      </c>
      <c r="F6" s="3"/>
    </row>
    <row r="7" customFormat="false" ht="15" hidden="false" customHeight="false" outlineLevel="0" collapsed="false">
      <c r="A7" s="3" t="n">
        <v>2</v>
      </c>
      <c r="B7" s="11"/>
      <c r="C7" s="11"/>
      <c r="D7" s="10" t="str">
        <f aca="false">IF(OR(B7="",C7="",B7=0),"",C7/B7)</f>
        <v/>
      </c>
      <c r="E7" s="3" t="str">
        <f aca="false">IF(D7="","",IF(D7&gt;=2,"Yes","No"))</f>
        <v/>
      </c>
      <c r="F7" s="3"/>
    </row>
    <row r="8" customFormat="false" ht="15" hidden="false" customHeight="false" outlineLevel="0" collapsed="false">
      <c r="A8" s="3" t="n">
        <v>3</v>
      </c>
      <c r="B8" s="11"/>
      <c r="C8" s="11"/>
      <c r="D8" s="10" t="str">
        <f aca="false">IF(OR(B8="",C8="",B8=0),"",C8/B8)</f>
        <v/>
      </c>
      <c r="E8" s="3" t="str">
        <f aca="false">IF(D8="","",IF(D8&gt;=2,"Yes","No"))</f>
        <v/>
      </c>
      <c r="F8" s="3"/>
    </row>
    <row r="9" customFormat="false" ht="15" hidden="false" customHeight="false" outlineLevel="0" collapsed="false">
      <c r="A9" s="3" t="n">
        <v>4</v>
      </c>
      <c r="B9" s="11"/>
      <c r="C9" s="11"/>
      <c r="D9" s="10" t="str">
        <f aca="false">IF(OR(B9="",C9="",B9=0),"",C9/B9)</f>
        <v/>
      </c>
      <c r="E9" s="3" t="str">
        <f aca="false">IF(D9="","",IF(D9&gt;=2,"Yes","No"))</f>
        <v/>
      </c>
      <c r="F9" s="3"/>
    </row>
    <row r="10" customFormat="false" ht="15" hidden="false" customHeight="false" outlineLevel="0" collapsed="false">
      <c r="A10" s="3" t="n">
        <v>5</v>
      </c>
      <c r="B10" s="11"/>
      <c r="C10" s="11"/>
      <c r="D10" s="10" t="str">
        <f aca="false">IF(OR(B10="",C10="",B10=0),"",C10/B10)</f>
        <v/>
      </c>
      <c r="E10" s="3" t="str">
        <f aca="false">IF(D10="","",IF(D10&gt;=2,"Yes","No"))</f>
        <v/>
      </c>
      <c r="F10" s="3"/>
    </row>
    <row r="12" customFormat="false" ht="15" hidden="false" customHeight="false" outlineLevel="0" collapsed="false">
      <c r="A12" s="6" t="s">
        <v>31</v>
      </c>
      <c r="B12" s="7" t="str">
        <f aca="false">IF(COUNT(D6:D10)=0,"Enter trials above",COUNTIF(E6:E10,"Yes")&amp;" of "&amp;COUNT(D6:D10)&amp;" trials reacted")</f>
        <v>Enter trials above</v>
      </c>
    </row>
    <row r="13" customFormat="false" ht="15" hidden="false" customHeight="false" outlineLevel="0" collapsed="false">
      <c r="A13" s="1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2026-10-28T11:09:40Z</dcterms:created>
  <dc:creator>openpyxl</dc:creator>
  <dc:description/>
  <dc:language>en-US</dc:language>
  <cp:lastModifiedBy/>
  <dcterms:modified xsi:type="dcterms:W3CDTF">2026-10-28T11:09:40Z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